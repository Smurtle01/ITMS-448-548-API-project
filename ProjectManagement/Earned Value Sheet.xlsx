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<sst xmlns="http://schemas.openxmlformats.org/spreadsheetml/2006/main" count="20" uniqueCount="19">
  <si>
    <t>Task</t>
  </si>
  <si>
    <t xml:space="preserve">Planned Value </t>
  </si>
  <si>
    <t>Earned Value</t>
  </si>
  <si>
    <t>Actual Cost</t>
  </si>
  <si>
    <t>Complete</t>
  </si>
  <si>
    <t>Cost Variance</t>
  </si>
  <si>
    <t>Scheduled Variance</t>
  </si>
  <si>
    <t>SPI</t>
  </si>
  <si>
    <t>CPI</t>
  </si>
  <si>
    <t>Planning</t>
  </si>
  <si>
    <t>API Research</t>
  </si>
  <si>
    <t>GUI design</t>
  </si>
  <si>
    <t>API Integration</t>
  </si>
  <si>
    <t>Backend Dev</t>
  </si>
  <si>
    <t>Data Analysis</t>
  </si>
  <si>
    <t>Visualization</t>
  </si>
  <si>
    <t>Testing</t>
  </si>
  <si>
    <t>&gt;1 = underbudget</t>
  </si>
  <si>
    <t>Earned Value Analysis: Project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</si>
</sst>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Verdana"/>
      <scheme val="minor"/>
    </font>
    <font>
      <b/>
      <color theme="1"/>
      <name val="Verdana"/>
      <scheme val="minor"/>
    </font>
    <font>
      <color theme="1"/>
      <name val="Verdana"/>
      <scheme val="minor"/>
    </font>
    <font>
      <i/>
      <color theme="1"/>
      <name val="Verdana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/>
    </xf>
    <xf borderId="0" fillId="3" fontId="2" numFmtId="9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5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Sheet1!$A$2:$A$10</c:f>
            </c:strRef>
          </c:cat>
          <c:val>
            <c:numRef>
              <c:f>Sheet1!$B$2:$B$10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Sheet1!$A$2:$A$10</c:f>
            </c:strRef>
          </c:cat>
          <c:val>
            <c:numRef>
              <c:f>Sheet1!$C$2:$C$10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Sheet1!$A$2:$A$10</c:f>
            </c:strRef>
          </c:cat>
          <c:val>
            <c:numRef>
              <c:f>Sheet1!$D$2:$D$10</c:f>
              <c:numCache/>
            </c:numRef>
          </c:val>
        </c:ser>
        <c:axId val="612827851"/>
        <c:axId val="1657919630"/>
      </c:barChart>
      <c:catAx>
        <c:axId val="612827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657919630"/>
      </c:catAx>
      <c:valAx>
        <c:axId val="1657919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612827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Planned Value , Earned Value and Actual Cost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1A9988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2D729D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  <c:smooth val="0"/>
        </c:ser>
        <c:ser>
          <c:idx val="2"/>
          <c:order val="2"/>
          <c:tx>
            <c:strRef>
              <c:f>Sheet1!$D$1</c:f>
            </c:strRef>
          </c:tx>
          <c:spPr>
            <a:ln cmpd="sng">
              <a:solidFill>
                <a:srgbClr val="1F3E78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Sheet1!$D$2:$D$9</c:f>
              <c:numCache/>
            </c:numRef>
          </c:val>
          <c:smooth val="0"/>
        </c:ser>
        <c:axId val="1555733398"/>
        <c:axId val="317776645"/>
      </c:lineChart>
      <c:catAx>
        <c:axId val="1555733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17776645"/>
      </c:catAx>
      <c:valAx>
        <c:axId val="317776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55733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3"/>
                </a:solidFill>
                <a:latin typeface="+mn-lt"/>
              </a:defRPr>
            </a:pPr>
            <a:r>
              <a:rPr b="1">
                <a:solidFill>
                  <a:schemeClr val="accent3"/>
                </a:solidFill>
                <a:latin typeface="+mn-lt"/>
              </a:rPr>
              <a:t>Project Process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Sheet1!$E$1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Sheet1!$A$2:$A$10</c:f>
            </c:strRef>
          </c:cat>
          <c:val>
            <c:numRef>
              <c:f>Sheet1!$E$2:$E$9</c:f>
              <c:numCache/>
            </c:numRef>
          </c:val>
        </c:ser>
        <c:overlap val="100"/>
        <c:axId val="434363754"/>
        <c:axId val="837800107"/>
      </c:barChart>
      <c:catAx>
        <c:axId val="4343637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>
                <a:solidFill>
                  <a:srgbClr val="1A1A1A"/>
                </a:solidFill>
                <a:latin typeface="+mn-lt"/>
              </a:defRPr>
            </a:pPr>
          </a:p>
        </c:txPr>
        <c:crossAx val="837800107"/>
      </c:catAx>
      <c:valAx>
        <c:axId val="8378001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4343637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13</xdr:row>
      <xdr:rowOff>152400</xdr:rowOff>
    </xdr:from>
    <xdr:ext cx="4000500" cy="2486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733425</xdr:colOff>
      <xdr:row>13</xdr:row>
      <xdr:rowOff>152400</xdr:rowOff>
    </xdr:from>
    <xdr:ext cx="3819525" cy="2486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1228725</xdr:colOff>
      <xdr:row>13</xdr:row>
      <xdr:rowOff>152400</xdr:rowOff>
    </xdr:from>
    <xdr:ext cx="4000500" cy="2486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3.22"/>
    <col customWidth="1" min="2" max="2" width="13.56"/>
    <col customWidth="1" min="3" max="3" width="12.89"/>
    <col customWidth="1" min="4" max="4" width="13.33"/>
    <col customWidth="1" min="6" max="6" width="15.78"/>
    <col customWidth="1" min="7" max="7" width="19.67"/>
    <col customWidth="1" min="8" max="8" width="16.89"/>
    <col customWidth="1" min="9" max="9" width="14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>
      <c r="A2" s="3" t="s">
        <v>9</v>
      </c>
      <c r="B2" s="4">
        <v>1000.0</v>
      </c>
      <c r="C2" s="5">
        <f t="shared" ref="C2:C9" si="1">MULTIPLY(B2,E2)</f>
        <v>950</v>
      </c>
      <c r="D2" s="4">
        <v>900.0</v>
      </c>
      <c r="E2" s="6">
        <v>0.95</v>
      </c>
      <c r="F2" s="5">
        <f t="shared" ref="F2:F9" si="2">MINUS(C2,D2)</f>
        <v>50</v>
      </c>
      <c r="G2" s="5">
        <f t="shared" ref="G2:G9" si="3">MINUS(C2,B2)</f>
        <v>-50</v>
      </c>
      <c r="H2" s="7">
        <f t="shared" ref="H2:H9" si="4">DIVIDE(C2,B2)</f>
        <v>0.95</v>
      </c>
      <c r="I2" s="7">
        <f t="shared" ref="I2:I9" si="5">DIVIDE(C2,B2)</f>
        <v>0.95</v>
      </c>
      <c r="J2" s="2"/>
    </row>
    <row r="3">
      <c r="A3" s="3" t="s">
        <v>10</v>
      </c>
      <c r="B3" s="4">
        <v>1000.0</v>
      </c>
      <c r="C3" s="5">
        <f t="shared" si="1"/>
        <v>800</v>
      </c>
      <c r="D3" s="4">
        <v>950.0</v>
      </c>
      <c r="E3" s="6">
        <v>0.8</v>
      </c>
      <c r="F3" s="5">
        <f t="shared" si="2"/>
        <v>-150</v>
      </c>
      <c r="G3" s="5">
        <f t="shared" si="3"/>
        <v>-200</v>
      </c>
      <c r="H3" s="7">
        <f t="shared" si="4"/>
        <v>0.8</v>
      </c>
      <c r="I3" s="7">
        <f t="shared" si="5"/>
        <v>0.8</v>
      </c>
      <c r="J3" s="2"/>
    </row>
    <row r="4">
      <c r="A4" s="3" t="s">
        <v>11</v>
      </c>
      <c r="B4" s="4">
        <v>650.0</v>
      </c>
      <c r="C4" s="5">
        <f t="shared" si="1"/>
        <v>650</v>
      </c>
      <c r="D4" s="4">
        <v>700.0</v>
      </c>
      <c r="E4" s="6">
        <v>1.0</v>
      </c>
      <c r="F4" s="5">
        <f t="shared" si="2"/>
        <v>-50</v>
      </c>
      <c r="G4" s="5">
        <f t="shared" si="3"/>
        <v>0</v>
      </c>
      <c r="H4" s="7">
        <f t="shared" si="4"/>
        <v>1</v>
      </c>
      <c r="I4" s="7">
        <f t="shared" si="5"/>
        <v>1</v>
      </c>
      <c r="J4" s="2"/>
    </row>
    <row r="5">
      <c r="A5" s="3" t="s">
        <v>12</v>
      </c>
      <c r="B5" s="4">
        <v>900.0</v>
      </c>
      <c r="C5" s="5">
        <f t="shared" si="1"/>
        <v>900</v>
      </c>
      <c r="D5" s="4">
        <v>700.0</v>
      </c>
      <c r="E5" s="6">
        <v>1.0</v>
      </c>
      <c r="F5" s="5">
        <f t="shared" si="2"/>
        <v>200</v>
      </c>
      <c r="G5" s="5">
        <f t="shared" si="3"/>
        <v>0</v>
      </c>
      <c r="H5" s="7">
        <f t="shared" si="4"/>
        <v>1</v>
      </c>
      <c r="I5" s="7">
        <f t="shared" si="5"/>
        <v>1</v>
      </c>
      <c r="J5" s="2"/>
    </row>
    <row r="6">
      <c r="A6" s="3" t="s">
        <v>13</v>
      </c>
      <c r="B6" s="4">
        <v>1200.0</v>
      </c>
      <c r="C6" s="5">
        <f t="shared" si="1"/>
        <v>1200</v>
      </c>
      <c r="D6" s="4">
        <v>1000.0</v>
      </c>
      <c r="E6" s="6">
        <v>1.0</v>
      </c>
      <c r="F6" s="5">
        <f t="shared" si="2"/>
        <v>200</v>
      </c>
      <c r="G6" s="5">
        <f t="shared" si="3"/>
        <v>0</v>
      </c>
      <c r="H6" s="7">
        <f t="shared" si="4"/>
        <v>1</v>
      </c>
      <c r="I6" s="7">
        <f t="shared" si="5"/>
        <v>1</v>
      </c>
      <c r="J6" s="2"/>
    </row>
    <row r="7">
      <c r="A7" s="3" t="s">
        <v>14</v>
      </c>
      <c r="B7" s="5">
        <f>MULTIPLY(10,30)</f>
        <v>300</v>
      </c>
      <c r="C7" s="5">
        <f t="shared" si="1"/>
        <v>285</v>
      </c>
      <c r="D7" s="4">
        <v>300.0</v>
      </c>
      <c r="E7" s="6">
        <v>0.95</v>
      </c>
      <c r="F7" s="5">
        <f t="shared" si="2"/>
        <v>-15</v>
      </c>
      <c r="G7" s="5">
        <f t="shared" si="3"/>
        <v>-15</v>
      </c>
      <c r="H7" s="7">
        <f t="shared" si="4"/>
        <v>0.95</v>
      </c>
      <c r="I7" s="7">
        <f t="shared" si="5"/>
        <v>0.95</v>
      </c>
      <c r="J7" s="2"/>
    </row>
    <row r="8">
      <c r="A8" s="3" t="s">
        <v>15</v>
      </c>
      <c r="B8" s="4">
        <v>1300.0</v>
      </c>
      <c r="C8" s="5">
        <f t="shared" si="1"/>
        <v>1300</v>
      </c>
      <c r="D8" s="4">
        <v>890.0</v>
      </c>
      <c r="E8" s="6">
        <v>1.0</v>
      </c>
      <c r="F8" s="5">
        <f t="shared" si="2"/>
        <v>410</v>
      </c>
      <c r="G8" s="5">
        <f t="shared" si="3"/>
        <v>0</v>
      </c>
      <c r="H8" s="7">
        <f t="shared" si="4"/>
        <v>1</v>
      </c>
      <c r="I8" s="7">
        <f t="shared" si="5"/>
        <v>1</v>
      </c>
      <c r="J8" s="2"/>
    </row>
    <row r="9">
      <c r="A9" s="3" t="s">
        <v>16</v>
      </c>
      <c r="B9" s="5">
        <f>MULTIPLY(10,30)</f>
        <v>300</v>
      </c>
      <c r="C9" s="5">
        <f t="shared" si="1"/>
        <v>270</v>
      </c>
      <c r="D9" s="4">
        <v>300.0</v>
      </c>
      <c r="E9" s="6">
        <v>0.9</v>
      </c>
      <c r="F9" s="5">
        <f t="shared" si="2"/>
        <v>-30</v>
      </c>
      <c r="G9" s="5">
        <f t="shared" si="3"/>
        <v>-30</v>
      </c>
      <c r="H9" s="7">
        <f t="shared" si="4"/>
        <v>0.9</v>
      </c>
      <c r="I9" s="7">
        <f t="shared" si="5"/>
        <v>0.9</v>
      </c>
      <c r="J9" s="2"/>
    </row>
    <row r="10">
      <c r="A10" s="2"/>
      <c r="B10" s="2"/>
      <c r="C10" s="2"/>
      <c r="D10" s="2"/>
      <c r="E10" s="2"/>
      <c r="F10" s="2"/>
      <c r="G10" s="2"/>
      <c r="H10" s="8" t="s">
        <v>17</v>
      </c>
      <c r="I10" s="8" t="s">
        <v>17</v>
      </c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9" t="s">
        <v>18</v>
      </c>
      <c r="J13" s="10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</sheetData>
  <mergeCells count="1">
    <mergeCell ref="A13:I13"/>
  </mergeCells>
  <drawing r:id="rId1"/>
</worksheet>
</file>